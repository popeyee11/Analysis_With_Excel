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Full Course\Data Analyst Full Course\Python\Analysis with Excel\"/>
    </mc:Choice>
  </mc:AlternateContent>
  <xr:revisionPtr revIDLastSave="0" documentId="8_{C656BC81-0134-4209-9913-8B74D2EA4347}" xr6:coauthVersionLast="47" xr6:coauthVersionMax="47" xr10:uidLastSave="{00000000-0000-0000-0000-000000000000}"/>
  <bookViews>
    <workbookView xWindow="-108" yWindow="-108" windowWidth="23256" windowHeight="12456" activeTab="5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9" i="7"/>
  <c r="B7" i="7"/>
  <c r="B3" i="4"/>
  <c r="B4" i="4"/>
  <c r="B2" i="4"/>
  <c r="B4" i="9"/>
  <c r="B3" i="9"/>
  <c r="B5" i="8"/>
  <c r="B6" i="8"/>
  <c r="B4" i="8"/>
  <c r="B3" i="8"/>
  <c r="A12" i="6" a="1"/>
  <c r="A12" i="6"/>
  <c r="B4" i="6" a="1"/>
  <c r="B4" i="6"/>
  <c r="B5" i="6" a="1"/>
  <c r="B5" i="6"/>
  <c r="B6" i="6" a="1"/>
  <c r="B6" i="6"/>
  <c r="B3" i="6" a="1"/>
  <c r="B3" i="6"/>
  <c r="B3" i="1"/>
  <c r="B4" i="1"/>
  <c r="B5" i="1"/>
  <c r="B6" i="1"/>
  <c r="I23" i="9"/>
  <c r="I22" i="9"/>
  <c r="H23" i="8"/>
  <c r="H22" i="8"/>
  <c r="I23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<sst xmlns="http://schemas.openxmlformats.org/spreadsheetml/2006/main" count="485" uniqueCount="92">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</sst>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37534-7EDF-4532-8A4B-2E801B3DA0F2}" name="Table2" displayName="Table2" ref="A2:B6" totalsRowShown="0">
  <autoFilter ref="A2:B6" xr:uid="{BD237534-7EDF-4532-8A4B-2E801B3DA0F2}">
    <filterColumn colId="0" hiddenButton="1"/>
    <filterColumn colId="1" hiddenButton="1"/>
  </autoFilter>
  <tableColumns count="2">
    <tableColumn id="1" xr3:uid="{A1866D85-A6F2-4B77-AD3F-D8ED118536F6}" name="Full Name"/>
    <tableColumn id="2" xr3:uid="{BB725EE6-7BA4-4D29-928B-F497467C336C}" name="Email" dataDxfId="0">
      <calculatedColumnFormula>_xlfn.XLOOKUP(Table2[[#This Row],[Full Name]],H2:H10,P2:P10)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5" sqref="B5"/>
    </sheetView>
  </sheetViews>
  <sheetFormatPr defaultRowHeight="15" customHeight="1"/>
  <cols>
    <col min="1" max="1" width="15.7109375" bestFit="1" customWidth="1"/>
    <col min="2" max="2" width="42.7109375" bestFit="1" customWidth="1"/>
    <col min="5" max="5" width="11.28515625" bestFit="1" customWidth="1"/>
    <col min="6" max="6" width="9.85546875" bestFit="1" customWidth="1"/>
    <col min="7" max="7" width="10.5703125" bestFit="1" customWidth="1"/>
    <col min="8" max="8" width="15.7109375" bestFit="1" customWidth="1"/>
    <col min="9" max="9" width="4.140625" bestFit="1" customWidth="1"/>
    <col min="10" max="10" width="7.85546875" bestFit="1" customWidth="1"/>
    <col min="11" max="11" width="7.28515625" bestFit="1" customWidth="1"/>
    <col min="12" max="12" width="16.7109375" bestFit="1" customWidth="1"/>
    <col min="13" max="13" width="6.28515625" bestFit="1" customWidth="1"/>
    <col min="14" max="14" width="10.140625" bestFit="1" customWidth="1"/>
    <col min="15" max="15" width="11.140625" bestFit="1" customWidth="1"/>
    <col min="16" max="16" width="42.7109375" bestFit="1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>
        <f>_xlfn.XLOOKUP(Table2[[#This Row],[Full Name]],H2:H10,P2:P10)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>
        <f>_xlfn.XLOOKUP(Table2[[#This Row],[Full Name]],H3:H11,P3:P11)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>
        <f>_xlfn.XLOOKUP(Table2[[#This Row],[Full Name]],H4:H12,P4:P12)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>
        <f>_xlfn.XLOOKUP(Table2[[#This Row],[Full Name]],H5:H13,P5:P13)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18" spans="8:8"/>
    <row r="22" spans="8:8">
      <c r="H22" t="str">
        <f t="shared" ref="H22:H23" si="0">CONCATENATE(F12," ",G12)</f>
        <v xml:space="preserve"> </v>
      </c>
    </row>
    <row r="23" spans="8:8">
      <c r="H23" t="str">
        <f t="shared" si="0"/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E17" sqref="E17"/>
    </sheetView>
  </sheetViews>
  <sheetFormatPr defaultRowHeight="14.45"/>
  <cols>
    <col min="1" max="1" width="14.7109375" bestFit="1" customWidth="1"/>
    <col min="2" max="2" width="14" customWidth="1"/>
    <col min="3" max="3" width="42.285156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12" spans="1:16">
      <c r="A12" cm="1">
        <f t="array" ref="A12:K12">_xlfn.XLOOKUP(A3,I2:I10,F2:P10)</f>
        <v>1005</v>
      </c>
      <c r="B12" t="str">
        <v>Toby</v>
      </c>
      <c r="C12" t="str">
        <v>Flenderson</v>
      </c>
      <c r="D12" t="str">
        <v>Toby Flenderson</v>
      </c>
      <c r="E12">
        <v>32</v>
      </c>
      <c r="F12" t="str">
        <v>Male</v>
      </c>
      <c r="G12" t="str">
        <v>HR</v>
      </c>
      <c r="H12">
        <v>50000</v>
      </c>
      <c r="I12" t="str">
        <v>5/6/2001</v>
      </c>
      <c r="J12" t="str">
        <v>8/30/2017</v>
      </c>
      <c r="K12" t="str">
        <v>Toby.Flenderson@DunderMifflinCorporate.com</v>
      </c>
    </row>
    <row r="23" spans="9:9">
      <c r="I23" t="str">
        <f t="shared" ref="I22:I23" si="0">CONCATENATE(G13," ",H13)</f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4.4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>
      <c r="A3" t="s">
        <v>71</v>
      </c>
      <c r="B3" t="str">
        <f>_xlfn.XLOOKUP("*"&amp;A3,H2:H10,O2:O10,"NOT Found")</f>
        <v>NOT Found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 ht="15">
      <c r="A4" t="s">
        <v>22</v>
      </c>
      <c r="B4" t="str">
        <f>_xlfn.XLOOKUP("*"&amp;A4&amp;"*",H2:H10,O2:O10,"Not Found",2)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>
      <c r="A5" t="s">
        <v>56</v>
      </c>
      <c r="B5" t="str">
        <f t="shared" ref="B5:B6" si="0">_xlfn.XLOOKUP("*"&amp;A5&amp;"*",H3:H11,O3:O11,"Not Found",2)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72</v>
      </c>
      <c r="B6" t="str">
        <f t="shared" si="0"/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73</v>
      </c>
      <c r="B2" t="s">
        <v>74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s="1" t="s">
        <v>75</v>
      </c>
      <c r="B3" t="str">
        <f>_xlfn.XLOOKUP(A3,N2:N10,I2:I10,,1)</f>
        <v>Angela Martin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s="1" t="s">
        <v>47</v>
      </c>
      <c r="B4" t="str">
        <f>_xlfn.XLOOKUP(A4,N2:N10,I2:I10,,,-1)</f>
        <v>Michael Scott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H13" sqref="H13"/>
    </sheetView>
  </sheetViews>
  <sheetFormatPr defaultColWidth="10.140625" defaultRowHeight="14.45"/>
  <cols>
    <col min="1" max="1" width="13.5703125" customWidth="1"/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B2">
        <f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B3">
        <f t="shared" ref="B3:B4" si="0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B4">
        <f t="shared" si="0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9"/>
  <sheetViews>
    <sheetView tabSelected="1" workbookViewId="0">
      <selection activeCell="B7" sqref="B7:B9"/>
    </sheetView>
  </sheetViews>
  <sheetFormatPr defaultColWidth="10.140625" defaultRowHeight="14.45"/>
  <cols>
    <col min="7" max="7" width="12.140625" bestFit="1" customWidth="1"/>
  </cols>
  <sheetData>
    <row r="1" spans="1:19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>
      <c r="A2" t="s">
        <v>88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89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90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91</v>
      </c>
    </row>
    <row r="7" spans="1:19" ht="15">
      <c r="A7" t="s">
        <v>88</v>
      </c>
      <c r="B7">
        <f ca="1">SUM(_xlfn.XLOOKUP(I1,H1:S1,H2:S2):_xlfn.XLOOKUP(J1,H1:S1,H2:S2))</f>
        <v>460</v>
      </c>
    </row>
    <row r="8" spans="1:19">
      <c r="B8">
        <f ca="1">SUM(_xlfn.XLOOKUP(I2,H2:S2,H3:S3):_xlfn.XLOOKUP(J2,H2:S2,H3:S3))</f>
        <v>105</v>
      </c>
    </row>
    <row r="9" spans="1:19">
      <c r="B9">
        <f ca="1">SUM(_xlfn.XLOOKUP(I3,H3:S3,H4:S4):_xlfn.XLOOKUP(J3,H3:S3,H4:S4))</f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45"/>
  <cols>
    <col min="1" max="1" width="14.42578125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31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52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63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2025-12-28T13:42:54Z</dcterms:modified>
  <cp:category/>
  <cp:contentStatus/>
</cp:coreProperties>
</file>