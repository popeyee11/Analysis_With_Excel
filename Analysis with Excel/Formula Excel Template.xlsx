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Full Course\Data Analyst Full Course\Python\Analysis with Excel\"/>
    </mc:Choice>
  </mc:AlternateContent>
  <xr:revisionPtr revIDLastSave="0" documentId="13_ncr:1_{84ABF54B-14D9-49C0-8EBC-662964FC3B08}" xr6:coauthVersionLast="47" xr6:coauthVersionMax="47" xr10:uidLastSave="{00000000-0000-0000-0000-000000000000}"/>
  <bookViews>
    <workbookView xWindow="-108" yWindow="-108" windowWidth="23256" windowHeight="12456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I13" i="13"/>
  <c r="J2" i="13"/>
  <c r="L2" i="5"/>
  <c r="K2" i="5"/>
  <c r="J2" i="5"/>
  <c r="L2" i="12"/>
  <c r="K2" i="12"/>
  <c r="J3" i="12"/>
  <c r="J4" i="12"/>
  <c r="J5" i="12"/>
  <c r="J6" i="12"/>
  <c r="J7" i="12"/>
  <c r="J8" i="12"/>
  <c r="J9" i="12"/>
  <c r="J10" i="12"/>
  <c r="J2" i="12"/>
  <c r="L3" i="7"/>
  <c r="L4" i="7"/>
  <c r="L5" i="7"/>
  <c r="L6" i="7"/>
  <c r="L7" i="7"/>
  <c r="L8" i="7"/>
  <c r="L9" i="7"/>
  <c r="L10" i="7"/>
  <c r="L2" i="7"/>
  <c r="K2" i="7"/>
  <c r="K3" i="7"/>
  <c r="K4" i="7"/>
  <c r="K5" i="7"/>
  <c r="K6" i="7"/>
  <c r="K7" i="7"/>
  <c r="K8" i="7"/>
  <c r="K9" i="7"/>
  <c r="K10" i="7"/>
  <c r="J2" i="7"/>
  <c r="J3" i="7"/>
  <c r="J4" i="7"/>
  <c r="J5" i="7"/>
  <c r="J6" i="7"/>
  <c r="J7" i="7"/>
  <c r="J8" i="7"/>
  <c r="J9" i="7"/>
  <c r="J10" i="7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11" i="1"/>
  <c r="J12" i="1"/>
  <c r="J3" i="6"/>
  <c r="J4" i="6"/>
  <c r="J5" i="6"/>
  <c r="J6" i="6"/>
  <c r="J7" i="6"/>
  <c r="J8" i="6"/>
  <c r="J9" i="6"/>
  <c r="J10" i="6"/>
  <c r="J2" i="6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3" i="8"/>
  <c r="J4" i="8"/>
  <c r="J5" i="8"/>
  <c r="J6" i="8"/>
  <c r="J7" i="8"/>
  <c r="J8" i="8"/>
  <c r="J9" i="8"/>
  <c r="J10" i="8"/>
  <c r="J2" i="8"/>
  <c r="K2" i="9"/>
  <c r="J2" i="9"/>
  <c r="H11" i="1"/>
  <c r="H12" i="1"/>
</calcChain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<sst xmlns="http://schemas.openxmlformats.org/spreadsheetml/2006/main" count="583" uniqueCount="88">
  <si>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</si>
  <si>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</si>
  <si>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</si>
  <si>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</si>
  <si>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</si>
  <si>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</si>
  <si>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</si>
  <si>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</si>
  <si>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</si>
  <si>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</si>
  <si>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</si>
  <si>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</si>
  <si>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</si>
  <si>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</si>
  <si>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</si>
  <si>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</si>
  <si>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</si>
  <si>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</si>
  <si>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</si>
  <si>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</si>
  <si>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</si>
  <si>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</si>
  <si>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</si>
  <si>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</si>
  <si>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</si>
  <si>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</si>
  <si>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</si>
  <si>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</si>
  <si>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</si>
  <si>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</si>
  <si>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</si>
  <si>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</si>
  <si>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</si>
  <si>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</si>
  <si>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</si>
  <si>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</si>
  <si>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</si>
  <si>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</si>
  <si>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</si>
  <si>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</si>
  <si>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</si>
  <si>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</si>
  <si>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</si>
  <si>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</si>
  <si>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</si>
  <si>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</si>
  <si>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</si>
  <si>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</si>
  <si>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</si>
  <si>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</si>
  <si>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</si>
  <si>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</si>
  <si>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</si>
  <si>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</si>
  <si>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</si>
  <si>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</si>
  <si>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</si>
  <si>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</si>
  <si>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</si>
  <si>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</si>
  <si>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</si>
  <si>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</si>
  <si>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</si>
  <si>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</si>
  <si>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</si>
  <si>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</si>
  <si>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</si>
  <si>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</si>
  <si>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</si>
  <si>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</si>
  <si>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</si>
  <si>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</si>
  <si>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</si>
  <si>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</si>
  <si>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</si>
  <si>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</si>
  <si>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</si>
  <si>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</si>
  <si>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</si>
  <si>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</si>
  <si>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</si>
  <si>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</si>
  <si>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</si>
  <si>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</si>
  <si>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</si>
  <si>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Left</t>
  </si>
  <si>
    <t>Right</t>
  </si>
  <si>
    <t>=DAYS(J2,I2)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</si>
</sst>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3" sqref="K3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3">
        <v>45000</v>
      </c>
      <c r="H2" s="1">
        <v>37197</v>
      </c>
      <c r="I2" s="1">
        <v>42253</v>
      </c>
      <c r="J2" s="3">
        <f>MAX(G2:G10)</f>
        <v>65000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3">
        <v>36000</v>
      </c>
      <c r="H3" s="1">
        <v>36436</v>
      </c>
      <c r="I3" s="1">
        <v>42287</v>
      </c>
      <c r="J3" s="3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3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3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3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3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3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3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3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H14" sqref="H14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IF(D2:D10&gt;30,"old","young")</f>
        <v>young</v>
      </c>
      <c r="K2" t="str">
        <f>_xlfn.IFS(F2:F10="Salesman","saler",E2:E10="Male","Human")</f>
        <v>saler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  <c r="K3" t="e">
        <f t="shared" ref="K3:K10" si="1">_xlfn.IFS(F3:F11="Salesman","saler",E3:E11="Male","Human")</f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saler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si="1"/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Human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Human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si="1"/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saler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str">
        <f t="shared" si="1"/>
        <v>Human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2" sqref="J2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F1" zoomScale="115" zoomScaleNormal="115" workbookViewId="0">
      <selection activeCell="J13" sqref="J13:J14"/>
    </sheetView>
  </sheetViews>
  <sheetFormatPr defaultColWidth="14.5546875" defaultRowHeight="14.4" x14ac:dyDescent="0.3"/>
  <cols>
    <col min="4" max="4" width="8" customWidth="1"/>
    <col min="10" max="10" width="39.7773437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85</v>
      </c>
      <c r="L1" t="s">
        <v>86</v>
      </c>
      <c r="M1" t="s">
        <v>86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LEFT(C2:C10,2)</f>
        <v>Ha</v>
      </c>
      <c r="L2" t="str">
        <f>RIGHT(A2:A10,1)</f>
        <v>1</v>
      </c>
      <c r="M2" t="str">
        <f>RIGHT(I2:I10,4)</f>
        <v>2015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LEFT(C3:C11,2)</f>
        <v>Be</v>
      </c>
      <c r="L3" t="str">
        <f t="shared" ref="L3:L10" si="1">RIGHT(A3:A11,1)</f>
        <v>2</v>
      </c>
      <c r="M3" t="str">
        <f t="shared" ref="M3:M10" si="2">RIGHT(I3:I11,4)</f>
        <v>2015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Sc</v>
      </c>
      <c r="L4" t="str">
        <f t="shared" si="1"/>
        <v>3</v>
      </c>
      <c r="M4" t="str">
        <f t="shared" si="2"/>
        <v>2017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Ma</v>
      </c>
      <c r="L5" t="str">
        <f t="shared" si="1"/>
        <v>4</v>
      </c>
      <c r="M5" t="str">
        <f t="shared" si="2"/>
        <v>2015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Fl</v>
      </c>
      <c r="L6" t="str">
        <f t="shared" si="1"/>
        <v>5</v>
      </c>
      <c r="M6" t="str">
        <f t="shared" si="2"/>
        <v>2017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Sc</v>
      </c>
      <c r="L7" t="str">
        <f t="shared" si="1"/>
        <v>6</v>
      </c>
      <c r="M7" t="str">
        <f t="shared" si="2"/>
        <v>2013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Pa</v>
      </c>
      <c r="L8" t="str">
        <f t="shared" si="1"/>
        <v>7</v>
      </c>
      <c r="M8" t="str">
        <f t="shared" si="2"/>
        <v>2013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Hu</v>
      </c>
      <c r="L9" t="str">
        <f t="shared" si="1"/>
        <v>8</v>
      </c>
      <c r="M9" t="str">
        <f t="shared" si="2"/>
        <v>2015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Ma</v>
      </c>
      <c r="L10" t="str">
        <f t="shared" si="1"/>
        <v>9</v>
      </c>
      <c r="M10" t="str">
        <f t="shared" si="2"/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2" sqref="J2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0" max="10" width="20.77734375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TEXT(H2:H10,"dd/mm/yyyy")</f>
        <v>02/11/2001</v>
      </c>
      <c r="K2" s="2" t="s">
        <v>87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TEXT(H3:H11,"dd/mm/yyyy")</f>
        <v>03/10/1999</v>
      </c>
      <c r="K3" s="2"/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04/07/2000</v>
      </c>
      <c r="K4" s="2"/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05/01/2000</v>
      </c>
      <c r="K5" s="2"/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06/05/2001</v>
      </c>
      <c r="K6" s="2"/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07/12/1995</v>
      </c>
      <c r="K7" s="2"/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08/11/2003</v>
      </c>
      <c r="K8" s="2"/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09/06/2002</v>
      </c>
      <c r="K9" s="2"/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10/08/2003</v>
      </c>
      <c r="K10" s="2"/>
    </row>
    <row r="12" spans="1:11" x14ac:dyDescent="0.3">
      <c r="H12" s="1"/>
    </row>
    <row r="13" spans="1:11" x14ac:dyDescent="0.3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G18" sqref="G18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J14" sqref="J14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SUBSTITUTE(H3:H11,"/","-")</f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E1" zoomScale="145" zoomScaleNormal="145" workbookViewId="0">
      <selection activeCell="H8" sqref="H8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SUMIFS(G2:G10,E2:E10,"Female",G2:G10,"&gt;40000")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SUM(G3:G11)</f>
        <v>392000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356000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293000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246000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196000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131000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90000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42000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H20" sqref="H2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COUNTIF(D2:D10,"&gt;30")</f>
        <v>6</v>
      </c>
      <c r="L2">
        <f>COUNTIFS(D2:D10,"&gt;30",E2:E10,"Male")</f>
        <v>4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J11" sqref="J11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18.88671875" bestFit="1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  <c r="K2" t="str">
        <f>_xlfn.CONCAT(B2,"@gmail.com")</f>
        <v>Jim@gmail.com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2" si="0">_xlfn.CONCAT(B3," ",C3)</f>
        <v>Pam Beasley</v>
      </c>
      <c r="K3" t="str">
        <f t="shared" ref="K3:K12" si="1">_xlfn.CONCAT(B3,"@gmail.com")</f>
        <v>Pam@gmail.com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Kevin@gmail.com</v>
      </c>
    </row>
    <row r="11" spans="1:11" x14ac:dyDescent="0.3">
      <c r="H11" t="str">
        <f t="shared" ref="H11:H12" si="2">CONCATENATE(B11," ",C11)</f>
        <v xml:space="preserve"> </v>
      </c>
      <c r="J11" t="str">
        <f t="shared" si="0"/>
        <v xml:space="preserve"> </v>
      </c>
    </row>
    <row r="12" spans="1:11" x14ac:dyDescent="0.3">
      <c r="H12" t="str">
        <f t="shared" si="2"/>
        <v xml:space="preserve"> </v>
      </c>
      <c r="J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3"/>
  <sheetViews>
    <sheetView tabSelected="1" topLeftCell="E1" zoomScale="145" zoomScaleNormal="145" workbookViewId="0">
      <selection activeCell="K5" sqref="K5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5231</v>
      </c>
      <c r="K2">
        <f>NETWORKDAYS(I2,H2)</f>
        <v>-3737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6058</v>
      </c>
      <c r="K3">
        <f t="shared" ref="K3:K10" si="1">NETWORKDAYS(I3,H3)</f>
        <v>-4328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6333</v>
      </c>
      <c r="K4">
        <f t="shared" si="1"/>
        <v>-4524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5428</v>
      </c>
      <c r="K5">
        <f t="shared" si="1"/>
        <v>-3879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e">
        <f t="shared" si="0"/>
        <v>#VALUE!</v>
      </c>
      <c r="K6" t="e">
        <f t="shared" si="1"/>
        <v>#VALUE!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4540</v>
      </c>
      <c r="K7">
        <f t="shared" si="1"/>
        <v>-3244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3743</v>
      </c>
      <c r="K8">
        <f t="shared" si="1"/>
        <v>-2675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e">
        <f t="shared" si="0"/>
        <v>#VALUE!</v>
      </c>
      <c r="K9" t="e">
        <f t="shared" si="1"/>
        <v>#VALUE!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e">
        <f t="shared" si="0"/>
        <v>#VALUE!</v>
      </c>
      <c r="K10" t="e">
        <f t="shared" si="1"/>
        <v>#VALUE!</v>
      </c>
    </row>
    <row r="13" spans="1:11" x14ac:dyDescent="0.3">
      <c r="I13" t="str">
        <f>IFERROR(--I6 - --H6,"")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Niranjan Powar</cp:lastModifiedBy>
  <dcterms:created xsi:type="dcterms:W3CDTF">2021-12-16T14:18:34Z</dcterms:created>
  <dcterms:modified xsi:type="dcterms:W3CDTF">2025-12-28T08:54:00Z</dcterms:modified>
</cp:coreProperties>
</file>